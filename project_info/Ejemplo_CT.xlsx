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_2025-2026\Gestion Cuantitativa\Sesión1\"/>
    </mc:Choice>
  </mc:AlternateContent>
  <xr:revisionPtr revIDLastSave="0" documentId="13_ncr:1_{1F719CF1-C3D2-49A4-8719-EEF50122EC2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perativa_Ejemplo" sheetId="2" r:id="rId1"/>
    <sheet name="CT_Ejemplo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2" i="2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</calcChain>
</file>

<file path=xl/sharedStrings.xml><?xml version="1.0" encoding="utf-8"?>
<sst xmlns="http://schemas.openxmlformats.org/spreadsheetml/2006/main" count="14" uniqueCount="12">
  <si>
    <t>Date</t>
  </si>
  <si>
    <t>Ask Price</t>
  </si>
  <si>
    <t>Bid Price</t>
  </si>
  <si>
    <t>MID</t>
  </si>
  <si>
    <t>CT(i)</t>
  </si>
  <si>
    <t>CT(ARTECHE)</t>
  </si>
  <si>
    <t>ID</t>
  </si>
  <si>
    <t>Cantidad</t>
  </si>
  <si>
    <t>Precio</t>
  </si>
  <si>
    <t>CT</t>
  </si>
  <si>
    <t>Precio Ejecutado</t>
  </si>
  <si>
    <t>ART SM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</si>
</sst>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b/>
      <sz val="11"/>
      <color theme="1"/>
      <name val="Amasis MT Pro"/>
      <family val="2"/>
      <scheme val="minor"/>
    </font>
    <font>
      <sz val="11"/>
      <color theme="0"/>
      <name val="Amasis MT Pro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10" fontId="3" fillId="0" borderId="0" xfId="0" applyNumberFormat="1" applyFont="1"/>
    <xf numFmtId="0" fontId="4" fillId="2" borderId="0" xfId="0" applyFont="1" applyFill="1"/>
    <xf numFmtId="0" fontId="2" fillId="2" borderId="0" xfId="0" applyFont="1" applyFill="1"/>
    <xf numFmtId="14" fontId="0" fillId="3" borderId="0" xfId="0" applyNumberFormat="1" applyFill="1"/>
    <xf numFmtId="0" fontId="0" fillId="3" borderId="0" xfId="0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1">
  <a:themeElements>
    <a:clrScheme name="Afi_nuevo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62D3F"/>
      </a:accent1>
      <a:accent2>
        <a:srgbClr val="2CBBF4"/>
      </a:accent2>
      <a:accent3>
        <a:srgbClr val="C8DAE2"/>
      </a:accent3>
      <a:accent4>
        <a:srgbClr val="F3F3F3"/>
      </a:accent4>
      <a:accent5>
        <a:srgbClr val="C6F3C6"/>
      </a:accent5>
      <a:accent6>
        <a:srgbClr val="72C971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1887-DAEB-4CD3-9040-50733D66FE39}">
  <dimension ref="A1:E3"/>
  <sheetViews>
    <sheetView showGridLines="0" tabSelected="1" workbookViewId="0"/>
  </sheetViews>
  <sheetFormatPr defaultRowHeight="14.5" x14ac:dyDescent="0.35"/>
  <cols>
    <col min="1" max="5" width="22.81640625" customWidth="1"/>
  </cols>
  <sheetData>
    <row r="1" spans="1:5" ht="15" x14ac:dyDescent="0.4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</row>
    <row r="2" spans="1:5" x14ac:dyDescent="0.35">
      <c r="A2" t="s">
        <v>11</v>
      </c>
      <c r="B2">
        <v>5000</v>
      </c>
      <c r="C2">
        <v>22.8</v>
      </c>
      <c r="D2" s="7">
        <v>9.617639295533437E-3</v>
      </c>
      <c r="E2">
        <f>C2*(1+D2)</f>
        <v>23.019282175938162</v>
      </c>
    </row>
    <row r="3" spans="1:5" x14ac:dyDescent="0.35">
      <c r="A3" t="s">
        <v>11</v>
      </c>
      <c r="B3">
        <v>-4500</v>
      </c>
      <c r="C3">
        <v>22.8</v>
      </c>
      <c r="D3" s="7">
        <v>9.617639295533437E-3</v>
      </c>
      <c r="E3">
        <f>C3*(1-D3)</f>
        <v>22.580717824061839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workbookViewId="0"/>
  </sheetViews>
  <sheetFormatPr defaultRowHeight="14.5" x14ac:dyDescent="0.35"/>
  <cols>
    <col min="1" max="1" width="11.81640625" bestFit="1" customWidth="1"/>
    <col min="2" max="2" width="8.54296875" customWidth="1"/>
    <col min="3" max="3" width="11.81640625" bestFit="1" customWidth="1"/>
    <col min="4" max="4" width="8.26953125" customWidth="1"/>
    <col min="7" max="7" width="14.81640625" bestFit="1" customWidth="1"/>
  </cols>
  <sheetData>
    <row r="1" spans="1:7" ht="15" x14ac:dyDescent="0.4">
      <c r="A1" s="3" t="s">
        <v>0</v>
      </c>
      <c r="B1" s="3" t="s">
        <v>1</v>
      </c>
      <c r="C1" s="3" t="s">
        <v>0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ht="15" x14ac:dyDescent="0.4">
      <c r="A2" s="5">
        <v>46050</v>
      </c>
      <c r="B2" s="6">
        <v>23</v>
      </c>
      <c r="C2" s="5">
        <v>46050</v>
      </c>
      <c r="D2" s="6">
        <v>22.6</v>
      </c>
      <c r="E2">
        <f t="shared" ref="E2:E21" si="0">(B2+D2)/2</f>
        <v>22.8</v>
      </c>
      <c r="F2" s="1">
        <f t="shared" ref="F2:F21" si="1">(B2-D2)*0.5/E2+0.0001</f>
        <v>8.8719298245613712E-3</v>
      </c>
      <c r="G2" s="2">
        <f>AVERAGE(F2:F21)</f>
        <v>9.617639295533437E-3</v>
      </c>
    </row>
    <row r="3" spans="1:7" x14ac:dyDescent="0.35">
      <c r="A3" s="5">
        <v>46049</v>
      </c>
      <c r="B3" s="6">
        <v>22.8</v>
      </c>
      <c r="C3" s="5">
        <v>46049</v>
      </c>
      <c r="D3" s="6">
        <v>22.6</v>
      </c>
      <c r="E3">
        <f t="shared" si="0"/>
        <v>22.700000000000003</v>
      </c>
      <c r="F3" s="1">
        <f t="shared" si="1"/>
        <v>4.505286343612319E-3</v>
      </c>
    </row>
    <row r="4" spans="1:7" x14ac:dyDescent="0.35">
      <c r="A4" s="5">
        <v>46048</v>
      </c>
      <c r="B4" s="6">
        <v>22.4</v>
      </c>
      <c r="C4" s="5">
        <v>46048</v>
      </c>
      <c r="D4" s="6">
        <v>22</v>
      </c>
      <c r="E4">
        <f t="shared" si="0"/>
        <v>22.2</v>
      </c>
      <c r="F4" s="1">
        <f t="shared" si="1"/>
        <v>9.1090090090089771E-3</v>
      </c>
    </row>
    <row r="5" spans="1:7" x14ac:dyDescent="0.35">
      <c r="A5" s="5">
        <v>46045</v>
      </c>
      <c r="B5" s="6">
        <v>22.4</v>
      </c>
      <c r="C5" s="5">
        <v>46045</v>
      </c>
      <c r="D5" s="6">
        <v>22.2</v>
      </c>
      <c r="E5">
        <f t="shared" si="0"/>
        <v>22.299999999999997</v>
      </c>
      <c r="F5" s="1">
        <f t="shared" si="1"/>
        <v>4.5843049327354106E-3</v>
      </c>
    </row>
    <row r="6" spans="1:7" x14ac:dyDescent="0.35">
      <c r="A6" s="5">
        <v>46044</v>
      </c>
      <c r="B6" s="6">
        <v>21.6</v>
      </c>
      <c r="C6" s="5">
        <v>46044</v>
      </c>
      <c r="D6" s="6">
        <v>21.2</v>
      </c>
      <c r="E6">
        <f t="shared" si="0"/>
        <v>21.4</v>
      </c>
      <c r="F6" s="1">
        <f t="shared" si="1"/>
        <v>9.4457943925234135E-3</v>
      </c>
    </row>
    <row r="7" spans="1:7" x14ac:dyDescent="0.35">
      <c r="A7" s="5">
        <v>46043</v>
      </c>
      <c r="B7" s="6">
        <v>22.2</v>
      </c>
      <c r="C7" s="5">
        <v>46043</v>
      </c>
      <c r="D7" s="6">
        <v>21.4</v>
      </c>
      <c r="E7">
        <f t="shared" si="0"/>
        <v>21.799999999999997</v>
      </c>
      <c r="F7" s="1">
        <f t="shared" si="1"/>
        <v>1.8448623853211027E-2</v>
      </c>
    </row>
    <row r="8" spans="1:7" x14ac:dyDescent="0.35">
      <c r="A8" s="5">
        <v>46042</v>
      </c>
      <c r="B8" s="6">
        <v>22.2</v>
      </c>
      <c r="C8" s="5">
        <v>46042</v>
      </c>
      <c r="D8" s="6">
        <v>21.6</v>
      </c>
      <c r="E8">
        <f t="shared" si="0"/>
        <v>21.9</v>
      </c>
      <c r="F8" s="1">
        <f t="shared" si="1"/>
        <v>1.3798630136986253E-2</v>
      </c>
    </row>
    <row r="9" spans="1:7" x14ac:dyDescent="0.35">
      <c r="A9" s="5">
        <v>46041</v>
      </c>
      <c r="B9" s="6">
        <v>22.2</v>
      </c>
      <c r="C9" s="5">
        <v>46041</v>
      </c>
      <c r="D9" s="6">
        <v>21.4</v>
      </c>
      <c r="E9">
        <f t="shared" si="0"/>
        <v>21.799999999999997</v>
      </c>
      <c r="F9" s="1">
        <f t="shared" si="1"/>
        <v>1.8448623853211027E-2</v>
      </c>
    </row>
    <row r="10" spans="1:7" x14ac:dyDescent="0.35">
      <c r="A10" s="5">
        <v>46038</v>
      </c>
      <c r="B10" s="6">
        <v>21.6</v>
      </c>
      <c r="C10" s="5">
        <v>46038</v>
      </c>
      <c r="D10" s="6">
        <v>21.4</v>
      </c>
      <c r="E10">
        <f t="shared" si="0"/>
        <v>21.5</v>
      </c>
      <c r="F10" s="1">
        <f t="shared" si="1"/>
        <v>4.7511627906977405E-3</v>
      </c>
    </row>
    <row r="11" spans="1:7" x14ac:dyDescent="0.35">
      <c r="A11" s="5">
        <v>46037</v>
      </c>
      <c r="B11" s="6">
        <v>22.2</v>
      </c>
      <c r="C11" s="5">
        <v>46037</v>
      </c>
      <c r="D11" s="6">
        <v>21.4</v>
      </c>
      <c r="E11">
        <f t="shared" si="0"/>
        <v>21.799999999999997</v>
      </c>
      <c r="F11" s="1">
        <f t="shared" si="1"/>
        <v>1.8448623853211027E-2</v>
      </c>
    </row>
    <row r="12" spans="1:7" x14ac:dyDescent="0.35">
      <c r="A12" s="5">
        <v>46036</v>
      </c>
      <c r="B12" s="6">
        <v>21.6</v>
      </c>
      <c r="C12" s="5">
        <v>46036</v>
      </c>
      <c r="D12" s="6">
        <v>21.4</v>
      </c>
      <c r="E12">
        <f t="shared" si="0"/>
        <v>21.5</v>
      </c>
      <c r="F12" s="1">
        <f t="shared" si="1"/>
        <v>4.7511627906977405E-3</v>
      </c>
    </row>
    <row r="13" spans="1:7" x14ac:dyDescent="0.35">
      <c r="A13" s="5">
        <v>46035</v>
      </c>
      <c r="B13" s="6">
        <v>22.4</v>
      </c>
      <c r="C13" s="5">
        <v>46035</v>
      </c>
      <c r="D13" s="6">
        <v>22.2</v>
      </c>
      <c r="E13">
        <f t="shared" si="0"/>
        <v>22.299999999999997</v>
      </c>
      <c r="F13" s="1">
        <f t="shared" si="1"/>
        <v>4.5843049327354106E-3</v>
      </c>
    </row>
    <row r="14" spans="1:7" x14ac:dyDescent="0.35">
      <c r="A14" s="5">
        <v>46034</v>
      </c>
      <c r="B14" s="6">
        <v>22.4</v>
      </c>
      <c r="C14" s="5">
        <v>46034</v>
      </c>
      <c r="D14" s="6">
        <v>21.6</v>
      </c>
      <c r="E14">
        <f t="shared" si="0"/>
        <v>22</v>
      </c>
      <c r="F14" s="1">
        <f t="shared" si="1"/>
        <v>1.8281818181818118E-2</v>
      </c>
    </row>
    <row r="15" spans="1:7" x14ac:dyDescent="0.35">
      <c r="A15" s="5">
        <v>46031</v>
      </c>
      <c r="B15" s="6">
        <v>22.4</v>
      </c>
      <c r="C15" s="5">
        <v>46031</v>
      </c>
      <c r="D15" s="6">
        <v>22.2</v>
      </c>
      <c r="E15">
        <f t="shared" si="0"/>
        <v>22.299999999999997</v>
      </c>
      <c r="F15" s="1">
        <f t="shared" si="1"/>
        <v>4.5843049327354106E-3</v>
      </c>
    </row>
    <row r="16" spans="1:7" x14ac:dyDescent="0.35">
      <c r="A16" s="5">
        <v>46030</v>
      </c>
      <c r="B16" s="6">
        <v>23.4</v>
      </c>
      <c r="C16" s="5">
        <v>46030</v>
      </c>
      <c r="D16" s="6">
        <v>23.2</v>
      </c>
      <c r="E16">
        <f t="shared" si="0"/>
        <v>23.299999999999997</v>
      </c>
      <c r="F16" s="1">
        <f t="shared" si="1"/>
        <v>4.3918454935622173E-3</v>
      </c>
    </row>
    <row r="17" spans="1:6" x14ac:dyDescent="0.35">
      <c r="A17" s="5">
        <v>46029</v>
      </c>
      <c r="B17" s="6">
        <v>23.6</v>
      </c>
      <c r="C17" s="5">
        <v>46029</v>
      </c>
      <c r="D17" s="6">
        <v>23.4</v>
      </c>
      <c r="E17">
        <f t="shared" si="0"/>
        <v>23.5</v>
      </c>
      <c r="F17" s="1">
        <f t="shared" si="1"/>
        <v>4.3553191489362313E-3</v>
      </c>
    </row>
    <row r="18" spans="1:6" x14ac:dyDescent="0.35">
      <c r="A18" s="5">
        <v>46028</v>
      </c>
      <c r="B18" s="6">
        <v>23</v>
      </c>
      <c r="C18" s="5">
        <v>46028</v>
      </c>
      <c r="D18" s="6">
        <v>22.6</v>
      </c>
      <c r="E18">
        <f t="shared" si="0"/>
        <v>22.8</v>
      </c>
      <c r="F18" s="1">
        <f t="shared" si="1"/>
        <v>8.8719298245613712E-3</v>
      </c>
    </row>
    <row r="19" spans="1:6" x14ac:dyDescent="0.35">
      <c r="A19" s="5">
        <v>46027</v>
      </c>
      <c r="B19" s="6">
        <v>22.8</v>
      </c>
      <c r="C19" s="5">
        <v>46027</v>
      </c>
      <c r="D19" s="6">
        <v>22.4</v>
      </c>
      <c r="E19">
        <f t="shared" si="0"/>
        <v>22.6</v>
      </c>
      <c r="F19" s="1">
        <f t="shared" si="1"/>
        <v>8.9495575221239399E-3</v>
      </c>
    </row>
    <row r="20" spans="1:6" x14ac:dyDescent="0.35">
      <c r="A20" s="5">
        <v>46024</v>
      </c>
      <c r="B20" s="6">
        <v>22.6</v>
      </c>
      <c r="C20" s="5">
        <v>46024</v>
      </c>
      <c r="D20" s="6">
        <v>22</v>
      </c>
      <c r="E20">
        <f t="shared" si="0"/>
        <v>22.3</v>
      </c>
      <c r="F20" s="1">
        <f t="shared" si="1"/>
        <v>1.3552914798206309E-2</v>
      </c>
    </row>
    <row r="21" spans="1:6" x14ac:dyDescent="0.35">
      <c r="A21" s="5"/>
      <c r="B21" s="6"/>
      <c r="C21" s="5"/>
      <c r="D21" s="6"/>
      <c r="F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Operativa_Ejemplo</vt:lpstr>
      <vt:lpstr>CT_Ejemplo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José María Contreras Beltrán</cp:lastModifiedBy>
  <dcterms:created xsi:type="dcterms:W3CDTF">2015-06-05T18:17:20Z</dcterms:created>
  <dcterms:modified xsi:type="dcterms:W3CDTF">2026-01-28T11:10:11Z</dcterms:modified>
</cp:coreProperties>
</file>